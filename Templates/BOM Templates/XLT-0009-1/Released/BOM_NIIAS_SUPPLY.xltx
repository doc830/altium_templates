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CHUGUNOV\Desktop\"/>
    </mc:Choice>
  </mc:AlternateContent>
  <bookViews>
    <workbookView xWindow="-120" yWindow="-120" windowWidth="38640" windowHeight="21390"/>
  </bookViews>
  <sheets>
    <sheet name="Part List Report" sheetId="3" r:id="rId1"/>
    <sheet name="Лист1" sheetId="4" r:id="rId2"/>
  </sheets>
  <definedNames>
    <definedName name="_xlnm._FilterDatabase" localSheetId="0" hidden="1">'Part List Report'!$C$13:$N$13</definedName>
    <definedName name="_xlnm.Print_Titles" localSheetId="0">'Part List Report'!$13:$13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3" l="1"/>
  <c r="J16" i="3" l="1"/>
  <c r="J15" i="3"/>
  <c r="J14" i="3"/>
  <c r="D3" i="3" l="1"/>
  <c r="D9" i="3" l="1"/>
  <c r="B15" i="3" l="1"/>
  <c r="B16" i="3"/>
  <c r="B14" i="3"/>
  <c r="E9" i="3"/>
</calcChain>
</file>

<file path=xl/sharedStrings.xml><?xml version="1.0" encoding="utf-8"?>
<sst xmlns="http://schemas.openxmlformats.org/spreadsheetml/2006/main" count="93" uniqueCount="54">
  <si>
    <t>Field=VariantName</t>
  </si>
  <si>
    <t>Field=ReportTime</t>
  </si>
  <si>
    <t>Field=ReportDate</t>
  </si>
  <si>
    <t>Print Date:</t>
  </si>
  <si>
    <t>Report Date:</t>
  </si>
  <si>
    <t>Column=Quantity</t>
  </si>
  <si>
    <t>Notes</t>
  </si>
  <si>
    <t>Column=Manufacturer</t>
  </si>
  <si>
    <t>#</t>
  </si>
  <si>
    <t>Column=Designator</t>
  </si>
  <si>
    <t>PCBA Number:</t>
  </si>
  <si>
    <t>Bill of materials</t>
  </si>
  <si>
    <t>Field=PCBA_Number</t>
  </si>
  <si>
    <t>Column=PartNumber</t>
  </si>
  <si>
    <t>Document Number:</t>
  </si>
  <si>
    <t>-</t>
  </si>
  <si>
    <t>Variant name:</t>
  </si>
  <si>
    <t xml:space="preserve">  Author</t>
  </si>
  <si>
    <t xml:space="preserve">  Checker</t>
  </si>
  <si>
    <t xml:space="preserve">  Approver</t>
  </si>
  <si>
    <t>Date / Signature</t>
  </si>
  <si>
    <t>Field=BOM_Notes</t>
  </si>
  <si>
    <t xml:space="preserve">Revision: </t>
  </si>
  <si>
    <t>Column=Case</t>
  </si>
  <si>
    <t>Field=Revision</t>
  </si>
  <si>
    <t>Column=Value</t>
  </si>
  <si>
    <t>Column=NIIAS_Des</t>
  </si>
  <si>
    <t>Аналоги подбирать из линеек следующих производителей: Panasonic, Yageo, KEMET, AVX, MuRata. Использование компонентов производителей не из списка согласовать отдельно.</t>
  </si>
  <si>
    <t>v1.11</t>
  </si>
  <si>
    <t xml:space="preserve">  Field=NIIAS_Author</t>
  </si>
  <si>
    <t xml:space="preserve">  Field=NIIAS_Checker</t>
  </si>
  <si>
    <t xml:space="preserve">  Field=NIIAS_Approver</t>
  </si>
  <si>
    <t>Допускается устанавливать аналоги резисторов и конденсаторов, удовлетворяющие требованиям, указанным в поле NIIAS_Des.</t>
  </si>
  <si>
    <t>Количество к закупке</t>
  </si>
  <si>
    <t>Количество плат:</t>
  </si>
  <si>
    <t>Замена</t>
  </si>
  <si>
    <t>Статус</t>
  </si>
  <si>
    <t>Ожидаемая дата поставки</t>
  </si>
  <si>
    <t>Комментарий</t>
  </si>
  <si>
    <t>Выпадающий список</t>
  </si>
  <si>
    <t>Статус компонента</t>
  </si>
  <si>
    <t>Заказан</t>
  </si>
  <si>
    <t>Требуется замена</t>
  </si>
  <si>
    <t>На проработке</t>
  </si>
  <si>
    <t>Получен</t>
  </si>
  <si>
    <t>Передан на монтаж</t>
  </si>
  <si>
    <t>Заказан аналог</t>
  </si>
  <si>
    <t>Закупочная информация</t>
  </si>
  <si>
    <t>Field=PCB_Number</t>
  </si>
  <si>
    <t>Печатное основание</t>
  </si>
  <si>
    <t>Статус текстолита</t>
  </si>
  <si>
    <t>Производство</t>
  </si>
  <si>
    <t>Монтаж</t>
  </si>
  <si>
    <t>Оценка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</si>
</sst>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h:mm;@"/>
  </numFmts>
  <fonts count="24" x14ac:knownFonts="1">
    <font>
      <sz val="10"/>
      <name val="Arial"/>
    </font>
    <font>
      <b/>
      <sz val="10"/>
      <color rgb="FF231F20"/>
      <name val="Arial"/>
      <family val="2"/>
      <charset val="204"/>
    </font>
    <font>
      <b/>
      <sz val="10"/>
      <name val="Arial"/>
      <family val="2"/>
      <charset val="204"/>
    </font>
    <font>
      <b/>
      <sz val="9"/>
      <color rgb="FF231F20"/>
      <name val="Arial"/>
      <family val="2"/>
      <charset val="204"/>
    </font>
    <font>
      <sz val="10"/>
      <color rgb="FFD1D2D4"/>
      <name val="Arial"/>
      <family val="2"/>
      <charset val="204"/>
    </font>
    <font>
      <sz val="9"/>
      <color rgb="FF231F20"/>
      <name val="Arial"/>
      <family val="2"/>
      <charset val="204"/>
    </font>
    <font>
      <sz val="10"/>
      <name val="Arial"/>
      <family val="2"/>
      <charset val="204"/>
    </font>
    <font>
      <sz val="1"/>
      <color theme="0" tint="-0.249977111117893"/>
      <name val="Arial"/>
      <family val="2"/>
      <charset val="204"/>
    </font>
    <font>
      <b/>
      <sz val="8"/>
      <color theme="0" tint="-0.499984740745262"/>
      <name val="Arial"/>
      <family val="2"/>
      <charset val="204"/>
    </font>
    <font>
      <b/>
      <sz val="16"/>
      <color rgb="FF231F20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16"/>
      <color rgb="FFD1D2D4"/>
      <name val="Arial"/>
      <family val="2"/>
      <charset val="204"/>
    </font>
    <font>
      <b/>
      <sz val="12"/>
      <color rgb="FFD1D2D4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rgb="FF231F20"/>
      <name val="Arial"/>
      <family val="2"/>
      <charset val="204"/>
    </font>
    <font>
      <sz val="9"/>
      <color indexed="10"/>
      <name val="Arial"/>
      <family val="2"/>
      <charset val="204"/>
    </font>
    <font>
      <sz val="10"/>
      <color theme="0" tint="-0.14999847407452621"/>
      <name val="Arial"/>
      <family val="2"/>
      <charset val="204"/>
    </font>
    <font>
      <sz val="16"/>
      <name val="Arial"/>
      <family val="2"/>
      <charset val="204"/>
    </font>
    <font>
      <b/>
      <sz val="11"/>
      <name val="Arial"/>
      <family val="2"/>
      <charset val="204"/>
    </font>
    <font>
      <b/>
      <sz val="24"/>
      <name val="Arial"/>
      <family val="2"/>
      <charset val="204"/>
    </font>
    <font>
      <b/>
      <sz val="11"/>
      <color rgb="FFD1D2D4"/>
      <name val="Arial"/>
      <family val="2"/>
      <charset val="204"/>
    </font>
    <font>
      <b/>
      <sz val="11"/>
      <color indexed="10"/>
      <name val="Arial"/>
      <family val="2"/>
      <charset val="204"/>
    </font>
    <font>
      <b/>
      <sz val="11"/>
      <color rgb="FF231F2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6EEEE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3" fillId="0" borderId="0" xfId="0" applyFont="1" applyBorder="1" applyAlignment="1">
      <alignment horizontal="right" vertical="top"/>
    </xf>
    <xf numFmtId="0" fontId="1" fillId="2" borderId="6" xfId="0" applyFont="1" applyFill="1" applyBorder="1" applyAlignment="1">
      <alignment horizontal="left"/>
    </xf>
    <xf numFmtId="0" fontId="4" fillId="5" borderId="16" xfId="0" applyFont="1" applyFill="1" applyBorder="1"/>
    <xf numFmtId="0" fontId="5" fillId="3" borderId="9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5" fillId="3" borderId="17" xfId="0" applyFont="1" applyFill="1" applyBorder="1" applyAlignment="1">
      <alignment horizontal="center" vertical="top" wrapText="1"/>
    </xf>
    <xf numFmtId="0" fontId="4" fillId="5" borderId="13" xfId="0" applyFont="1" applyFill="1" applyBorder="1"/>
    <xf numFmtId="0" fontId="4" fillId="5" borderId="25" xfId="0" applyFont="1" applyFill="1" applyBorder="1"/>
    <xf numFmtId="0" fontId="7" fillId="5" borderId="25" xfId="0" applyFont="1" applyFill="1" applyBorder="1"/>
    <xf numFmtId="0" fontId="6" fillId="5" borderId="14" xfId="0" applyFont="1" applyFill="1" applyBorder="1" applyAlignment="1">
      <alignment horizontal="right"/>
    </xf>
    <xf numFmtId="0" fontId="6" fillId="5" borderId="14" xfId="0" applyFont="1" applyFill="1" applyBorder="1"/>
    <xf numFmtId="0" fontId="8" fillId="2" borderId="0" xfId="0" applyFont="1" applyFill="1" applyBorder="1" applyAlignment="1">
      <alignment vertical="top"/>
    </xf>
    <xf numFmtId="0" fontId="9" fillId="2" borderId="0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2" fillId="5" borderId="2" xfId="0" applyFont="1" applyFill="1" applyBorder="1" applyAlignment="1">
      <alignment vertical="center"/>
    </xf>
    <xf numFmtId="0" fontId="13" fillId="2" borderId="0" xfId="0" applyFont="1" applyFill="1" applyBorder="1"/>
    <xf numFmtId="0" fontId="1" fillId="2" borderId="0" xfId="0" applyFont="1" applyFill="1" applyBorder="1"/>
    <xf numFmtId="0" fontId="1" fillId="2" borderId="8" xfId="0" applyNumberFormat="1" applyFont="1" applyFill="1" applyBorder="1" applyAlignment="1">
      <alignment horizontal="right"/>
    </xf>
    <xf numFmtId="49" fontId="1" fillId="2" borderId="8" xfId="0" applyNumberFormat="1" applyFont="1" applyFill="1" applyBorder="1" applyAlignment="1">
      <alignment horizontal="left"/>
    </xf>
    <xf numFmtId="49" fontId="1" fillId="2" borderId="6" xfId="0" applyNumberFormat="1" applyFont="1" applyFill="1" applyBorder="1" applyAlignment="1">
      <alignment horizontal="left"/>
    </xf>
    <xf numFmtId="49" fontId="15" fillId="2" borderId="6" xfId="0" applyNumberFormat="1" applyFont="1" applyFill="1" applyBorder="1"/>
    <xf numFmtId="0" fontId="13" fillId="2" borderId="6" xfId="0" applyFont="1" applyFill="1" applyBorder="1"/>
    <xf numFmtId="0" fontId="1" fillId="2" borderId="6" xfId="0" applyFont="1" applyFill="1" applyBorder="1"/>
    <xf numFmtId="0" fontId="15" fillId="2" borderId="6" xfId="0" applyFont="1" applyFill="1" applyBorder="1" applyAlignment="1">
      <alignment horizontal="left"/>
    </xf>
    <xf numFmtId="0" fontId="15" fillId="2" borderId="6" xfId="0" applyFont="1" applyFill="1" applyBorder="1"/>
    <xf numFmtId="0" fontId="16" fillId="2" borderId="0" xfId="0" applyFont="1" applyFill="1" applyBorder="1"/>
    <xf numFmtId="0" fontId="15" fillId="2" borderId="0" xfId="0" applyFont="1" applyFill="1" applyBorder="1"/>
    <xf numFmtId="0" fontId="15" fillId="2" borderId="1" xfId="0" applyFont="1" applyFill="1" applyBorder="1" applyAlignment="1">
      <alignment horizontal="left"/>
    </xf>
    <xf numFmtId="0" fontId="5" fillId="2" borderId="0" xfId="0" applyFont="1" applyFill="1" applyBorder="1"/>
    <xf numFmtId="0" fontId="2" fillId="0" borderId="0" xfId="0" applyFont="1" applyAlignment="1">
      <alignment vertical="center"/>
    </xf>
    <xf numFmtId="0" fontId="5" fillId="3" borderId="8" xfId="0" applyFont="1" applyFill="1" applyBorder="1" applyAlignment="1">
      <alignment horizontal="center" vertical="top" wrapText="1"/>
    </xf>
    <xf numFmtId="49" fontId="5" fillId="3" borderId="8" xfId="0" applyNumberFormat="1" applyFont="1" applyFill="1" applyBorder="1" applyAlignment="1">
      <alignment vertical="top" wrapText="1"/>
    </xf>
    <xf numFmtId="0" fontId="15" fillId="0" borderId="21" xfId="0" applyFont="1" applyBorder="1" applyAlignment="1" applyProtection="1">
      <alignment horizontal="left" vertical="top"/>
      <protection locked="0"/>
    </xf>
    <xf numFmtId="0" fontId="17" fillId="0" borderId="21" xfId="0" applyFont="1" applyBorder="1" applyAlignment="1">
      <alignment horizontal="center" vertical="top"/>
    </xf>
    <xf numFmtId="0" fontId="1" fillId="0" borderId="0" xfId="0" applyFont="1" applyBorder="1" applyAlignment="1" applyProtection="1">
      <alignment horizontal="left" vertical="top"/>
      <protection locked="0"/>
    </xf>
    <xf numFmtId="0" fontId="4" fillId="5" borderId="5" xfId="0" applyFont="1" applyFill="1" applyBorder="1"/>
    <xf numFmtId="0" fontId="6" fillId="0" borderId="11" xfId="0" applyFont="1" applyBorder="1" applyAlignment="1" applyProtection="1">
      <alignment horizontal="left" vertical="top"/>
      <protection locked="0"/>
    </xf>
    <xf numFmtId="0" fontId="17" fillId="0" borderId="11" xfId="0" applyFont="1" applyBorder="1" applyAlignment="1" applyProtection="1">
      <alignment horizontal="center" vertical="top"/>
      <protection locked="0"/>
    </xf>
    <xf numFmtId="0" fontId="4" fillId="5" borderId="7" xfId="0" applyFont="1" applyFill="1" applyBorder="1"/>
    <xf numFmtId="0" fontId="6" fillId="0" borderId="22" xfId="0" applyFont="1" applyBorder="1" applyAlignment="1" applyProtection="1">
      <alignment horizontal="left" vertical="top"/>
      <protection locked="0"/>
    </xf>
    <xf numFmtId="0" fontId="17" fillId="0" borderId="22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left" vertical="top"/>
    </xf>
    <xf numFmtId="49" fontId="1" fillId="2" borderId="0" xfId="0" applyNumberFormat="1" applyFont="1" applyFill="1" applyBorder="1" applyAlignment="1">
      <alignment horizontal="left"/>
    </xf>
    <xf numFmtId="49" fontId="1" fillId="2" borderId="0" xfId="0" applyNumberFormat="1" applyFont="1" applyFill="1" applyBorder="1"/>
    <xf numFmtId="49" fontId="15" fillId="2" borderId="0" xfId="0" applyNumberFormat="1" applyFont="1" applyFill="1" applyBorder="1"/>
    <xf numFmtId="49" fontId="5" fillId="3" borderId="10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/>
    </xf>
    <xf numFmtId="49" fontId="5" fillId="3" borderId="27" xfId="0" applyNumberFormat="1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top" wrapText="1"/>
    </xf>
    <xf numFmtId="49" fontId="5" fillId="6" borderId="11" xfId="0" applyNumberFormat="1" applyFont="1" applyFill="1" applyBorder="1" applyAlignment="1">
      <alignment horizontal="center" vertical="center" wrapText="1"/>
    </xf>
    <xf numFmtId="49" fontId="5" fillId="6" borderId="26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/>
    </xf>
    <xf numFmtId="49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 applyAlignment="1">
      <alignment horizontal="left"/>
    </xf>
    <xf numFmtId="0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/>
    <xf numFmtId="49" fontId="5" fillId="3" borderId="28" xfId="0" applyNumberFormat="1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49" fontId="5" fillId="3" borderId="29" xfId="0" applyNumberFormat="1" applyFont="1" applyFill="1" applyBorder="1" applyAlignment="1">
      <alignment horizontal="center" vertical="center" wrapText="1"/>
    </xf>
    <xf numFmtId="49" fontId="5" fillId="3" borderId="6" xfId="0" applyNumberFormat="1" applyFont="1" applyFill="1" applyBorder="1" applyAlignment="1">
      <alignment vertical="top" wrapText="1"/>
    </xf>
    <xf numFmtId="49" fontId="5" fillId="3" borderId="31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left"/>
    </xf>
    <xf numFmtId="165" fontId="15" fillId="2" borderId="0" xfId="0" applyNumberFormat="1" applyFont="1" applyFill="1" applyBorder="1" applyAlignment="1">
      <alignment horizontal="left"/>
    </xf>
    <xf numFmtId="0" fontId="2" fillId="4" borderId="32" xfId="0" applyFont="1" applyFill="1" applyBorder="1" applyAlignment="1">
      <alignment horizontal="center" vertical="center"/>
    </xf>
    <xf numFmtId="49" fontId="5" fillId="3" borderId="33" xfId="0" applyNumberFormat="1" applyFont="1" applyFill="1" applyBorder="1" applyAlignment="1">
      <alignment horizontal="center" vertical="center" wrapText="1"/>
    </xf>
    <xf numFmtId="49" fontId="5" fillId="3" borderId="30" xfId="0" applyNumberFormat="1" applyFont="1" applyFill="1" applyBorder="1" applyAlignment="1">
      <alignment horizontal="center" vertical="center" wrapText="1"/>
    </xf>
    <xf numFmtId="49" fontId="5" fillId="3" borderId="34" xfId="0" applyNumberFormat="1" applyFont="1" applyFill="1" applyBorder="1" applyAlignment="1">
      <alignment horizontal="center" vertical="center" wrapText="1"/>
    </xf>
    <xf numFmtId="49" fontId="5" fillId="6" borderId="35" xfId="0" applyNumberFormat="1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left" vertical="top" wrapText="1"/>
    </xf>
    <xf numFmtId="0" fontId="6" fillId="0" borderId="5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18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19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13" fillId="2" borderId="14" xfId="0" applyFont="1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left" vertical="top" wrapText="1"/>
    </xf>
    <xf numFmtId="0" fontId="1" fillId="0" borderId="20" xfId="0" applyFont="1" applyBorder="1" applyAlignment="1" applyProtection="1">
      <alignment horizontal="left" vertical="top"/>
      <protection locked="0"/>
    </xf>
    <xf numFmtId="0" fontId="1" fillId="0" borderId="21" xfId="0" applyFont="1" applyBorder="1" applyAlignment="1" applyProtection="1">
      <alignment horizontal="left" vertical="top"/>
      <protection locked="0"/>
    </xf>
    <xf numFmtId="0" fontId="2" fillId="0" borderId="24" xfId="0" applyFont="1" applyBorder="1" applyAlignment="1" applyProtection="1">
      <alignment horizontal="left" vertical="top"/>
      <protection locked="0"/>
    </xf>
    <xf numFmtId="0" fontId="2" fillId="0" borderId="11" xfId="0" applyFont="1" applyBorder="1" applyAlignment="1" applyProtection="1">
      <alignment horizontal="left" vertical="top"/>
      <protection locked="0"/>
    </xf>
    <xf numFmtId="0" fontId="2" fillId="0" borderId="23" xfId="0" applyFont="1" applyBorder="1" applyAlignment="1" applyProtection="1">
      <alignment horizontal="left" vertical="top"/>
      <protection locked="0"/>
    </xf>
    <xf numFmtId="0" fontId="2" fillId="0" borderId="22" xfId="0" applyFont="1" applyBorder="1" applyAlignment="1" applyProtection="1">
      <alignment horizontal="left" vertical="top"/>
      <protection locked="0"/>
    </xf>
    <xf numFmtId="0" fontId="4" fillId="5" borderId="1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8" fillId="5" borderId="2" xfId="0" applyFont="1" applyFill="1" applyBorder="1" applyAlignment="1">
      <alignment horizontal="center"/>
    </xf>
    <xf numFmtId="0" fontId="19" fillId="0" borderId="36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19" fillId="0" borderId="0" xfId="0" applyFont="1" applyBorder="1" applyAlignment="1">
      <alignment vertical="top"/>
    </xf>
    <xf numFmtId="0" fontId="14" fillId="2" borderId="0" xfId="0" applyFont="1" applyFill="1" applyBorder="1"/>
    <xf numFmtId="0" fontId="23" fillId="2" borderId="36" xfId="0" applyFont="1" applyFill="1" applyBorder="1" applyAlignment="1">
      <alignment horizontal="center" vertical="center"/>
    </xf>
    <xf numFmtId="165" fontId="23" fillId="2" borderId="36" xfId="0" applyNumberFormat="1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 wrapText="1"/>
    </xf>
    <xf numFmtId="14" fontId="19" fillId="0" borderId="36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2" fillId="2" borderId="12" xfId="0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165" fontId="23" fillId="2" borderId="0" xfId="0" applyNumberFormat="1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14" fontId="19" fillId="0" borderId="0" xfId="0" applyNumberFormat="1" applyFont="1" applyBorder="1" applyAlignment="1">
      <alignment horizontal="center" vertical="center"/>
    </xf>
    <xf numFmtId="0" fontId="13" fillId="2" borderId="0" xfId="0" applyFont="1" applyFill="1" applyBorder="1" applyAlignment="1">
      <alignment vertical="top" wrapText="1"/>
    </xf>
    <xf numFmtId="0" fontId="19" fillId="0" borderId="38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4" borderId="38" xfId="0" applyFont="1" applyFill="1" applyBorder="1" applyAlignment="1">
      <alignment horizontal="center" vertical="center"/>
    </xf>
    <xf numFmtId="0" fontId="22" fillId="2" borderId="37" xfId="0" applyFont="1" applyFill="1" applyBorder="1" applyAlignment="1">
      <alignment horizontal="center" vertical="center"/>
    </xf>
    <xf numFmtId="0" fontId="2" fillId="4" borderId="37" xfId="0" applyFont="1" applyFill="1" applyBorder="1" applyAlignment="1">
      <alignment horizontal="center" vertical="center"/>
    </xf>
    <xf numFmtId="0" fontId="21" fillId="5" borderId="16" xfId="0" applyFont="1" applyFill="1" applyBorder="1" applyAlignment="1">
      <alignment horizontal="center" vertical="center"/>
    </xf>
    <xf numFmtId="0" fontId="6" fillId="0" borderId="0" xfId="0" applyFont="1"/>
    <xf numFmtId="0" fontId="3" fillId="2" borderId="1" xfId="0" applyFont="1" applyFill="1" applyBorder="1" applyAlignment="1">
      <alignment horizontal="center" vertical="top" wrapText="1"/>
    </xf>
    <xf numFmtId="49" fontId="5" fillId="3" borderId="39" xfId="0" applyNumberFormat="1" applyFont="1" applyFill="1" applyBorder="1" applyAlignment="1">
      <alignment horizontal="center" vertical="center" wrapText="1"/>
    </xf>
    <xf numFmtId="49" fontId="5" fillId="6" borderId="40" xfId="0" applyNumberFormat="1" applyFont="1" applyFill="1" applyBorder="1" applyAlignment="1">
      <alignment horizontal="center" vertical="center" wrapText="1"/>
    </xf>
    <xf numFmtId="49" fontId="5" fillId="3" borderId="4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26">
    <dxf>
      <fill>
        <patternFill>
          <bgColor rgb="FFFFFF00"/>
        </patternFill>
      </fill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FF9999"/>
      <color rgb="FFF6EEEE"/>
      <color rgb="FFE9D3D3"/>
      <color rgb="FFD4A8A8"/>
      <color rgb="FFD5A89F"/>
      <color rgb="FFFD5F45"/>
      <color rgb="FFFFD9D9"/>
      <color rgb="FFFF8080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2638425</xdr:colOff>
      <xdr:row>2</xdr:row>
      <xdr:rowOff>57150</xdr:rowOff>
    </xdr:from>
    <xdr:to>
      <xdr:col>6</xdr:col>
      <xdr:colOff>1212012</xdr:colOff>
      <xdr:row>8</xdr:row>
      <xdr:rowOff>56914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7175" y="704850"/>
          <a:ext cx="1516812" cy="13713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"/>
  <sheetViews>
    <sheetView showGridLines="0" tabSelected="1" zoomScale="70" zoomScaleNormal="70" workbookViewId="0">
      <selection activeCell="I26" sqref="I26"/>
    </sheetView>
  </sheetViews>
  <sheetFormatPr defaultColWidth="9.140625" defaultRowHeight="12.75" x14ac:dyDescent="0.2"/>
  <cols>
    <col min="1" max="1" width="2.85546875" style="5" customWidth="1"/>
    <col min="2" max="2" width="4.28515625" style="5" customWidth="1"/>
    <col min="3" max="4" width="22.85546875" style="43" customWidth="1"/>
    <col min="5" max="5" width="25.7109375" style="5" customWidth="1"/>
    <col min="6" max="6" width="44.140625" style="5" customWidth="1"/>
    <col min="7" max="7" width="19" style="5" customWidth="1"/>
    <col min="8" max="8" width="17" style="5" customWidth="1"/>
    <col min="9" max="9" width="40" style="5" customWidth="1"/>
    <col min="10" max="10" width="22" style="5" bestFit="1" customWidth="1"/>
    <col min="11" max="11" width="23.7109375" style="5" customWidth="1"/>
    <col min="12" max="12" width="20.7109375" style="5" customWidth="1"/>
    <col min="13" max="13" width="26.5703125" style="5" bestFit="1" customWidth="1"/>
    <col min="14" max="14" width="25.85546875" style="5" customWidth="1"/>
    <col min="15" max="16384" width="9.140625" style="5"/>
  </cols>
  <sheetData>
    <row r="1" spans="1:14" ht="13.5" thickBot="1" x14ac:dyDescent="0.25">
      <c r="A1" s="7"/>
      <c r="B1" s="8"/>
      <c r="C1" s="8"/>
      <c r="D1" s="9" t="s">
        <v>12</v>
      </c>
      <c r="E1" s="10"/>
      <c r="F1" s="11"/>
      <c r="G1" s="11"/>
      <c r="H1" s="11"/>
      <c r="I1" s="90"/>
      <c r="J1" s="92"/>
      <c r="K1" s="90"/>
      <c r="L1" s="90"/>
      <c r="M1" s="90"/>
      <c r="N1" s="59"/>
    </row>
    <row r="2" spans="1:14" ht="37.5" customHeight="1" thickBot="1" x14ac:dyDescent="0.35">
      <c r="A2" s="3"/>
      <c r="B2" s="12" t="s">
        <v>28</v>
      </c>
      <c r="C2" s="13" t="s">
        <v>11</v>
      </c>
      <c r="D2" s="14"/>
      <c r="E2" s="15"/>
      <c r="F2" s="16"/>
      <c r="G2" s="16"/>
      <c r="H2" s="16"/>
      <c r="I2" s="91"/>
      <c r="J2" s="93"/>
      <c r="K2" s="91"/>
      <c r="L2" s="94" t="s">
        <v>47</v>
      </c>
      <c r="M2" s="91"/>
      <c r="N2" s="60"/>
    </row>
    <row r="3" spans="1:14" ht="18" customHeight="1" x14ac:dyDescent="0.2">
      <c r="A3" s="3"/>
      <c r="B3" s="17"/>
      <c r="C3" s="18" t="s">
        <v>14</v>
      </c>
      <c r="D3" s="2" t="str">
        <f>D1&amp;".BM"</f>
        <v>Field=PCBA_Number.BM</v>
      </c>
      <c r="E3" s="19" t="s">
        <v>22</v>
      </c>
      <c r="F3" s="20" t="s">
        <v>24</v>
      </c>
      <c r="G3" s="44"/>
      <c r="H3" s="82" t="s">
        <v>32</v>
      </c>
      <c r="I3" s="82"/>
      <c r="J3" s="72"/>
      <c r="K3" s="73"/>
      <c r="L3" s="73"/>
      <c r="M3" s="73"/>
      <c r="N3" s="74"/>
    </row>
    <row r="4" spans="1:14" ht="25.5" customHeight="1" x14ac:dyDescent="0.2">
      <c r="A4" s="3"/>
      <c r="B4" s="17"/>
      <c r="C4" s="18" t="s">
        <v>10</v>
      </c>
      <c r="D4" s="53" t="s">
        <v>12</v>
      </c>
      <c r="E4" s="54" t="s">
        <v>22</v>
      </c>
      <c r="F4" s="55" t="s">
        <v>24</v>
      </c>
      <c r="G4" s="44"/>
      <c r="H4" s="83"/>
      <c r="I4" s="83"/>
      <c r="J4" s="72"/>
      <c r="K4" s="73"/>
      <c r="L4" s="97" t="s">
        <v>34</v>
      </c>
      <c r="M4" s="96">
        <v>1</v>
      </c>
      <c r="N4" s="74"/>
    </row>
    <row r="5" spans="1:14" ht="18" customHeight="1" x14ac:dyDescent="0.2">
      <c r="A5" s="3"/>
      <c r="B5" s="17"/>
      <c r="C5" s="18"/>
      <c r="D5" s="53"/>
      <c r="E5" s="56"/>
      <c r="F5" s="57"/>
      <c r="G5" s="45"/>
      <c r="H5" s="45"/>
      <c r="I5" s="111"/>
      <c r="J5" s="72"/>
      <c r="K5" s="73"/>
      <c r="L5" s="73"/>
      <c r="M5" s="73"/>
      <c r="N5" s="74"/>
    </row>
    <row r="6" spans="1:14" ht="18" customHeight="1" x14ac:dyDescent="0.2">
      <c r="A6" s="3"/>
      <c r="B6" s="17"/>
      <c r="C6" s="18" t="s">
        <v>16</v>
      </c>
      <c r="D6" s="2" t="s">
        <v>0</v>
      </c>
      <c r="E6" s="21"/>
      <c r="F6" s="22"/>
      <c r="G6" s="46"/>
      <c r="H6" s="83" t="s">
        <v>27</v>
      </c>
      <c r="I6" s="83"/>
      <c r="J6" s="72"/>
      <c r="K6" s="73"/>
      <c r="L6" s="73"/>
      <c r="M6" s="73"/>
      <c r="N6" s="74"/>
    </row>
    <row r="7" spans="1:14" x14ac:dyDescent="0.2">
      <c r="A7" s="3"/>
      <c r="B7" s="23"/>
      <c r="C7" s="24"/>
      <c r="D7" s="2"/>
      <c r="E7" s="25"/>
      <c r="F7" s="26"/>
      <c r="G7" s="28"/>
      <c r="H7" s="83"/>
      <c r="I7" s="83"/>
      <c r="J7" s="72"/>
      <c r="K7" s="73"/>
      <c r="L7" s="73"/>
      <c r="M7" s="73"/>
      <c r="N7" s="74"/>
    </row>
    <row r="8" spans="1:14" ht="15.75" customHeight="1" x14ac:dyDescent="0.2">
      <c r="A8" s="3"/>
      <c r="B8" s="27"/>
      <c r="C8" s="28" t="s">
        <v>4</v>
      </c>
      <c r="D8" s="29" t="s">
        <v>2</v>
      </c>
      <c r="E8" s="29" t="s">
        <v>1</v>
      </c>
      <c r="F8" s="30"/>
      <c r="G8" s="30"/>
      <c r="H8" s="83"/>
      <c r="I8" s="83"/>
      <c r="J8" s="72"/>
      <c r="K8" s="73"/>
      <c r="L8" s="73"/>
      <c r="M8" s="73"/>
      <c r="N8" s="74"/>
    </row>
    <row r="9" spans="1:14" ht="15" customHeight="1" x14ac:dyDescent="0.2">
      <c r="A9" s="3"/>
      <c r="B9" s="98"/>
      <c r="C9" s="28" t="s">
        <v>3</v>
      </c>
      <c r="D9" s="64">
        <f ca="1">TODAY()</f>
        <v>44616</v>
      </c>
      <c r="E9" s="65">
        <f ca="1">NOW()</f>
        <v>44616.645302893521</v>
      </c>
      <c r="F9" s="30"/>
      <c r="G9" s="30"/>
      <c r="H9" s="83"/>
      <c r="I9" s="83"/>
      <c r="J9" s="72"/>
      <c r="K9" s="73"/>
      <c r="L9" s="73"/>
      <c r="M9" s="73"/>
      <c r="N9" s="74"/>
    </row>
    <row r="10" spans="1:14" ht="15" customHeight="1" x14ac:dyDescent="0.2">
      <c r="A10" s="3"/>
      <c r="B10" s="98"/>
      <c r="C10" s="28"/>
      <c r="D10" s="64"/>
      <c r="E10" s="65"/>
      <c r="F10" s="30"/>
      <c r="G10" s="30"/>
      <c r="H10" s="71"/>
      <c r="I10" s="71"/>
      <c r="J10" s="72"/>
      <c r="K10" s="73"/>
      <c r="L10" s="73"/>
      <c r="M10" s="73"/>
      <c r="N10" s="74"/>
    </row>
    <row r="11" spans="1:14" s="103" customFormat="1" ht="34.5" customHeight="1" x14ac:dyDescent="0.2">
      <c r="A11" s="120"/>
      <c r="B11" s="118"/>
      <c r="C11" s="99"/>
      <c r="D11" s="99" t="s">
        <v>48</v>
      </c>
      <c r="E11" s="100"/>
      <c r="F11" s="99" t="s">
        <v>49</v>
      </c>
      <c r="G11" s="99"/>
      <c r="H11" s="101">
        <v>1</v>
      </c>
      <c r="I11" s="104"/>
      <c r="J11" s="112">
        <f>M$4*H11</f>
        <v>1</v>
      </c>
      <c r="K11" s="95"/>
      <c r="L11" s="95" t="s">
        <v>43</v>
      </c>
      <c r="M11" s="102"/>
      <c r="N11" s="113"/>
    </row>
    <row r="12" spans="1:14" s="103" customFormat="1" ht="34.5" customHeight="1" x14ac:dyDescent="0.2">
      <c r="A12" s="120"/>
      <c r="B12" s="105"/>
      <c r="C12" s="106"/>
      <c r="D12" s="106"/>
      <c r="E12" s="107"/>
      <c r="F12" s="106"/>
      <c r="G12" s="106"/>
      <c r="H12" s="108"/>
      <c r="I12" s="108"/>
      <c r="J12" s="114"/>
      <c r="K12" s="109"/>
      <c r="L12" s="109"/>
      <c r="M12" s="110"/>
      <c r="N12" s="115"/>
    </row>
    <row r="13" spans="1:14" s="31" customFormat="1" ht="18" customHeight="1" x14ac:dyDescent="0.2">
      <c r="A13" s="3"/>
      <c r="B13" s="119" t="s">
        <v>8</v>
      </c>
      <c r="C13" s="116" t="s">
        <v>9</v>
      </c>
      <c r="D13" s="116" t="s">
        <v>13</v>
      </c>
      <c r="E13" s="116" t="s">
        <v>7</v>
      </c>
      <c r="F13" s="116" t="s">
        <v>26</v>
      </c>
      <c r="G13" s="116" t="s">
        <v>25</v>
      </c>
      <c r="H13" s="116" t="s">
        <v>5</v>
      </c>
      <c r="I13" s="48" t="s">
        <v>23</v>
      </c>
      <c r="J13" s="117" t="s">
        <v>33</v>
      </c>
      <c r="K13" s="116" t="s">
        <v>35</v>
      </c>
      <c r="L13" s="116" t="s">
        <v>36</v>
      </c>
      <c r="M13" s="116" t="s">
        <v>37</v>
      </c>
      <c r="N13" s="66" t="s">
        <v>38</v>
      </c>
    </row>
    <row r="14" spans="1:14" x14ac:dyDescent="0.2">
      <c r="A14" s="3"/>
      <c r="B14" s="4">
        <f>ROW(B14) - ROW($B$13)</f>
        <v>1</v>
      </c>
      <c r="C14" s="68" t="s">
        <v>15</v>
      </c>
      <c r="D14" s="47" t="s">
        <v>15</v>
      </c>
      <c r="E14" s="47" t="s">
        <v>15</v>
      </c>
      <c r="F14" s="47" t="s">
        <v>15</v>
      </c>
      <c r="G14" s="47" t="s">
        <v>15</v>
      </c>
      <c r="H14" s="58" t="s">
        <v>15</v>
      </c>
      <c r="I14" s="58" t="s">
        <v>15</v>
      </c>
      <c r="J14" s="123" t="e">
        <f>M$4*H14</f>
        <v>#VALUE!</v>
      </c>
      <c r="K14" s="58" t="s">
        <v>15</v>
      </c>
      <c r="L14" s="58" t="s">
        <v>43</v>
      </c>
      <c r="M14" s="58" t="s">
        <v>15</v>
      </c>
      <c r="N14" s="69" t="s">
        <v>15</v>
      </c>
    </row>
    <row r="15" spans="1:14" x14ac:dyDescent="0.2">
      <c r="A15" s="3"/>
      <c r="B15" s="50">
        <f>ROW(B15) - ROW($B$13)</f>
        <v>2</v>
      </c>
      <c r="C15" s="52" t="s">
        <v>15</v>
      </c>
      <c r="D15" s="51" t="s">
        <v>15</v>
      </c>
      <c r="E15" s="51" t="s">
        <v>15</v>
      </c>
      <c r="F15" s="51" t="s">
        <v>15</v>
      </c>
      <c r="G15" s="51" t="s">
        <v>15</v>
      </c>
      <c r="H15" s="52" t="s">
        <v>15</v>
      </c>
      <c r="I15" s="52" t="s">
        <v>15</v>
      </c>
      <c r="J15" s="124" t="e">
        <f>M$4*H15</f>
        <v>#VALUE!</v>
      </c>
      <c r="K15" s="52" t="s">
        <v>15</v>
      </c>
      <c r="L15" s="52" t="s">
        <v>43</v>
      </c>
      <c r="M15" s="52" t="s">
        <v>15</v>
      </c>
      <c r="N15" s="70" t="s">
        <v>15</v>
      </c>
    </row>
    <row r="16" spans="1:14" x14ac:dyDescent="0.2">
      <c r="A16" s="3"/>
      <c r="B16" s="6">
        <f>ROW(B16) - ROW($B$13)</f>
        <v>3</v>
      </c>
      <c r="C16" s="61" t="s">
        <v>15</v>
      </c>
      <c r="D16" s="63" t="s">
        <v>15</v>
      </c>
      <c r="E16" s="63" t="s">
        <v>15</v>
      </c>
      <c r="F16" s="63" t="s">
        <v>15</v>
      </c>
      <c r="G16" s="63" t="s">
        <v>15</v>
      </c>
      <c r="H16" s="49" t="s">
        <v>15</v>
      </c>
      <c r="I16" s="49" t="s">
        <v>15</v>
      </c>
      <c r="J16" s="125" t="e">
        <f>M$4*H16</f>
        <v>#VALUE!</v>
      </c>
      <c r="K16" s="49" t="s">
        <v>15</v>
      </c>
      <c r="L16" s="49" t="s">
        <v>43</v>
      </c>
      <c r="M16" s="49" t="s">
        <v>15</v>
      </c>
      <c r="N16" s="67" t="s">
        <v>15</v>
      </c>
    </row>
    <row r="17" spans="1:14" ht="6.75" customHeight="1" x14ac:dyDescent="0.2">
      <c r="A17" s="3"/>
      <c r="B17" s="32"/>
      <c r="C17" s="33"/>
      <c r="D17" s="62"/>
      <c r="E17" s="62"/>
      <c r="F17" s="62"/>
      <c r="G17" s="62"/>
      <c r="H17" s="62"/>
      <c r="I17" s="62"/>
      <c r="J17" s="72"/>
      <c r="K17" s="73"/>
      <c r="L17" s="73"/>
      <c r="M17" s="73"/>
      <c r="N17" s="74"/>
    </row>
    <row r="18" spans="1:14" ht="12.75" customHeight="1" x14ac:dyDescent="0.2">
      <c r="A18" s="3"/>
      <c r="B18" s="84" t="s">
        <v>17</v>
      </c>
      <c r="C18" s="85"/>
      <c r="D18" s="34" t="s">
        <v>29</v>
      </c>
      <c r="E18" s="35" t="s">
        <v>20</v>
      </c>
      <c r="F18" s="36" t="s">
        <v>6</v>
      </c>
      <c r="G18" s="36"/>
      <c r="H18" s="1"/>
      <c r="I18" s="122"/>
      <c r="J18" s="72"/>
      <c r="K18" s="73"/>
      <c r="L18" s="73"/>
      <c r="M18" s="73"/>
      <c r="N18" s="74"/>
    </row>
    <row r="19" spans="1:14" x14ac:dyDescent="0.2">
      <c r="A19" s="37"/>
      <c r="B19" s="86" t="s">
        <v>18</v>
      </c>
      <c r="C19" s="87"/>
      <c r="D19" s="38" t="s">
        <v>30</v>
      </c>
      <c r="E19" s="39" t="s">
        <v>20</v>
      </c>
      <c r="F19" s="78" t="s">
        <v>21</v>
      </c>
      <c r="G19" s="79"/>
      <c r="H19" s="79"/>
      <c r="I19" s="79"/>
      <c r="J19" s="72"/>
      <c r="K19" s="73"/>
      <c r="L19" s="73"/>
      <c r="M19" s="73"/>
      <c r="N19" s="74"/>
    </row>
    <row r="20" spans="1:14" ht="13.5" thickBot="1" x14ac:dyDescent="0.25">
      <c r="A20" s="40"/>
      <c r="B20" s="88" t="s">
        <v>19</v>
      </c>
      <c r="C20" s="89"/>
      <c r="D20" s="41" t="s">
        <v>31</v>
      </c>
      <c r="E20" s="42" t="s">
        <v>20</v>
      </c>
      <c r="F20" s="80"/>
      <c r="G20" s="81"/>
      <c r="H20" s="81"/>
      <c r="I20" s="81"/>
      <c r="J20" s="75"/>
      <c r="K20" s="76"/>
      <c r="L20" s="76"/>
      <c r="M20" s="76"/>
      <c r="N20" s="77"/>
    </row>
    <row r="22" spans="1:14" x14ac:dyDescent="0.2">
      <c r="C22" s="5"/>
      <c r="D22" s="5"/>
    </row>
    <row r="23" spans="1:14" x14ac:dyDescent="0.2">
      <c r="C23" s="5"/>
      <c r="D23" s="5"/>
    </row>
  </sheetData>
  <autoFilter ref="C13:N13"/>
  <mergeCells count="6">
    <mergeCell ref="F19:I20"/>
    <mergeCell ref="H3:I4"/>
    <mergeCell ref="H6:I9"/>
    <mergeCell ref="B18:C18"/>
    <mergeCell ref="B19:C19"/>
    <mergeCell ref="B20:C20"/>
  </mergeCells>
  <phoneticPr fontId="0" type="noConversion"/>
  <conditionalFormatting sqref="L3:L12 L17:L1048576">
    <cfRule type="containsText" dxfId="25" priority="12" operator="containsText" text="Передан на монтаж">
      <formula>NOT(ISERROR(SEARCH("Передан на монтаж",L3)))</formula>
    </cfRule>
    <cfRule type="containsText" dxfId="24" priority="13" operator="containsText" text="Получен">
      <formula>NOT(ISERROR(SEARCH("Получен",L3)))</formula>
    </cfRule>
    <cfRule type="containsText" dxfId="23" priority="14" operator="containsText" text="Требуется замена">
      <formula>NOT(ISERROR(SEARCH("Требуется замена",L3)))</formula>
    </cfRule>
    <cfRule type="containsText" dxfId="22" priority="15" operator="containsText" text="Заказан">
      <formula>NOT(ISERROR(SEARCH("Заказан",L3)))</formula>
    </cfRule>
  </conditionalFormatting>
  <conditionalFormatting sqref="L1:L13 L17:L1048576">
    <cfRule type="containsText" dxfId="21" priority="8" operator="containsText" text="Передан">
      <formula>NOT(ISERROR(SEARCH("Передан",L1)))</formula>
    </cfRule>
    <cfRule type="containsText" dxfId="20" priority="9" operator="containsText" text="Получен">
      <formula>NOT(ISERROR(SEARCH("Получен",L1)))</formula>
    </cfRule>
    <cfRule type="containsText" dxfId="19" priority="10" operator="containsText" text="Требуется замена">
      <formula>NOT(ISERROR(SEARCH("Требуется замена",L1)))</formula>
    </cfRule>
    <cfRule type="containsText" dxfId="18" priority="11" operator="containsText" text="Заказан">
      <formula>NOT(ISERROR(SEARCH("Заказан",L1)))</formula>
    </cfRule>
  </conditionalFormatting>
  <conditionalFormatting sqref="L11">
    <cfRule type="containsText" dxfId="14" priority="7" operator="containsText" text="Оценка">
      <formula>NOT(ISERROR(SEARCH("Оценка",L11)))</formula>
    </cfRule>
    <cfRule type="containsText" dxfId="15" priority="6" operator="containsText" text="Производство">
      <formula>NOT(ISERROR(SEARCH("Производство",L11)))</formula>
    </cfRule>
    <cfRule type="containsText" dxfId="13" priority="5" operator="containsText" text="Монтаж">
      <formula>NOT(ISERROR(SEARCH("Монтаж",L11)))</formula>
    </cfRule>
  </conditionalFormatting>
  <conditionalFormatting sqref="L14:L16">
    <cfRule type="containsText" dxfId="4" priority="4" operator="containsText" text="Заказан">
      <formula>NOT(ISERROR(SEARCH("Заказан",L14)))</formula>
    </cfRule>
    <cfRule type="containsText" dxfId="5" priority="3" operator="containsText" text="Требуется замена">
      <formula>NOT(ISERROR(SEARCH("Требуется замена",L14)))</formula>
    </cfRule>
    <cfRule type="containsText" dxfId="6" priority="2" operator="containsText" text="Получен">
      <formula>NOT(ISERROR(SEARCH("Получен",L14)))</formula>
    </cfRule>
    <cfRule type="containsText" dxfId="3" priority="1" operator="containsText" text="Передан">
      <formula>NOT(ISERROR(SEARCH("Передан",L14)))</formula>
    </cfRule>
  </conditionalFormatting>
  <pageMargins left="0.47244094488188981" right="0" top="0.59055118110236227" bottom="0.98425196850393704" header="0.51181102362204722" footer="0.51181102362204722"/>
  <pageSetup paperSize="9" fitToHeight="0" orientation="landscape" horizontalDpi="200" verticalDpi="200" r:id="rId1"/>
  <headerFooter alignWithMargins="0">
    <oddFooter>&amp;L&amp;"Arial,Fett"THOMMEN AIRCRAFT EQUIPMENT AG Confidential&amp;C&amp;D&amp;RPage 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Лист1!$A$4:$A$10</xm:f>
          </x14:formula1>
          <xm:sqref>L14:L16</xm:sqref>
        </x14:dataValidation>
        <x14:dataValidation type="list" allowBlank="1" showInputMessage="1" showErrorMessage="1">
          <x14:formula1>
            <xm:f>Лист1!$C$4:$C$8</xm:f>
          </x14:formula1>
          <xm:sqref>L11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workbookViewId="0">
      <selection activeCell="C8" sqref="C8"/>
    </sheetView>
  </sheetViews>
  <sheetFormatPr defaultRowHeight="12.75" x14ac:dyDescent="0.2"/>
  <cols>
    <col min="1" max="1" width="19.5703125" bestFit="1" customWidth="1"/>
    <col min="3" max="3" width="16.42578125" bestFit="1" customWidth="1"/>
  </cols>
  <sheetData>
    <row r="1" spans="1:3" x14ac:dyDescent="0.2">
      <c r="A1" t="s">
        <v>39</v>
      </c>
    </row>
    <row r="3" spans="1:3" x14ac:dyDescent="0.2">
      <c r="A3" t="s">
        <v>40</v>
      </c>
      <c r="C3" s="121" t="s">
        <v>50</v>
      </c>
    </row>
    <row r="4" spans="1:3" x14ac:dyDescent="0.2">
      <c r="A4" t="s">
        <v>41</v>
      </c>
      <c r="C4" s="121" t="s">
        <v>53</v>
      </c>
    </row>
    <row r="5" spans="1:3" x14ac:dyDescent="0.2">
      <c r="A5" t="s">
        <v>46</v>
      </c>
      <c r="C5" s="121" t="s">
        <v>51</v>
      </c>
    </row>
    <row r="6" spans="1:3" x14ac:dyDescent="0.2">
      <c r="A6" t="s">
        <v>42</v>
      </c>
      <c r="C6" s="121" t="s">
        <v>52</v>
      </c>
    </row>
    <row r="7" spans="1:3" x14ac:dyDescent="0.2">
      <c r="A7" t="s">
        <v>43</v>
      </c>
      <c r="C7" s="121" t="s">
        <v>43</v>
      </c>
    </row>
    <row r="8" spans="1:3" x14ac:dyDescent="0.2">
      <c r="A8" t="s">
        <v>44</v>
      </c>
    </row>
    <row r="9" spans="1:3" x14ac:dyDescent="0.2">
      <c r="A9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Part List Report</vt:lpstr>
      <vt:lpstr>Лист1</vt:lpstr>
      <vt:lpstr>'Part List Report'!Заголовки_для_печати</vt:lpstr>
    </vt:vector>
  </TitlesOfParts>
  <Company>THOMMEN AIRCRAFT EQUIPMENT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Chugunov</dc:creator>
  <cp:lastModifiedBy>Victor Chugunov</cp:lastModifiedBy>
  <cp:lastPrinted>2020-10-30T00:05:07Z</cp:lastPrinted>
  <dcterms:created xsi:type="dcterms:W3CDTF">2002-11-05T15:28:02Z</dcterms:created>
  <dcterms:modified xsi:type="dcterms:W3CDTF">2022-02-24T12:29:33Z</dcterms:modified>
</cp:coreProperties>
</file>